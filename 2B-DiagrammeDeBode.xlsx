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45010185\Downloads\"/>
    </mc:Choice>
  </mc:AlternateContent>
  <bookViews>
    <workbookView xWindow="0" yWindow="0" windowWidth="17895" windowHeight="81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C12" i="1"/>
  <c r="C13" i="1"/>
  <c r="C14" i="1"/>
  <c r="C15" i="1"/>
  <c r="C16" i="1"/>
  <c r="C17" i="1"/>
  <c r="C18" i="1"/>
  <c r="C19" i="1"/>
  <c r="C20" i="1"/>
  <c r="C21" i="1"/>
  <c r="C22" i="1"/>
  <c r="C10" i="1"/>
  <c r="C5" i="1"/>
  <c r="C6" i="1"/>
  <c r="C7" i="1"/>
  <c r="C8" i="1"/>
  <c r="C2" i="1"/>
  <c r="C3" i="1"/>
  <c r="C4" i="1"/>
  <c r="C9" i="1"/>
</calcChain>
</file>

<file path=xl/sharedStrings.xml><?xml version="1.0" encoding="utf-8"?>
<sst xmlns="http://schemas.openxmlformats.org/spreadsheetml/2006/main" count="5" uniqueCount="4">
  <si>
    <t>Fréquence</t>
  </si>
  <si>
    <t>Vs</t>
  </si>
  <si>
    <t>Gain</t>
  </si>
  <si>
    <t>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</si>
</sst>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Feuil1!$C$1</c:f>
              <c:strCache>
                <c:ptCount val="1"/>
                <c:pt idx="0">
                  <c:v>Gain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Feuil1!$A$2:$A$8</c:f>
              <c:numCache>
                <c:formatCode>General</c:formatCode>
                <c:ptCount val="7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55</c:v>
                </c:pt>
                <c:pt idx="5">
                  <c:v>60</c:v>
                </c:pt>
                <c:pt idx="6">
                  <c:v>80</c:v>
                </c:pt>
              </c:numCache>
            </c:numRef>
          </c:xVal>
          <c:yVal>
            <c:numRef>
              <c:f>Feuil1!$C$2:$C$8</c:f>
              <c:numCache>
                <c:formatCode>General</c:formatCode>
                <c:ptCount val="7"/>
                <c:pt idx="0">
                  <c:v>-7.9588001734407507</c:v>
                </c:pt>
                <c:pt idx="1">
                  <c:v>9.1475439304781041</c:v>
                </c:pt>
                <c:pt idx="2">
                  <c:v>14.647875196459371</c:v>
                </c:pt>
                <c:pt idx="3">
                  <c:v>19.523941706547504</c:v>
                </c:pt>
                <c:pt idx="4">
                  <c:v>21.774531279077106</c:v>
                </c:pt>
                <c:pt idx="5">
                  <c:v>22.234209417490895</c:v>
                </c:pt>
                <c:pt idx="6">
                  <c:v>23.560343601834393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231856"/>
        <c:axId val="402232248"/>
      </c:scatterChart>
      <c:valAx>
        <c:axId val="40223185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2232248"/>
        <c:crosses val="autoZero"/>
        <c:crossBetween val="midCat"/>
      </c:valAx>
      <c:valAx>
        <c:axId val="402232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2231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Diagramme de Bode avec GBF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Feuil1!$C$1</c:f>
              <c:strCache>
                <c:ptCount val="1"/>
                <c:pt idx="0">
                  <c:v>Gain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Feuil1!$A$2:$A$22</c:f>
              <c:numCache>
                <c:formatCode>General</c:formatCode>
                <c:ptCount val="21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55</c:v>
                </c:pt>
                <c:pt idx="5">
                  <c:v>60</c:v>
                </c:pt>
                <c:pt idx="6">
                  <c:v>80</c:v>
                </c:pt>
                <c:pt idx="7">
                  <c:v>100</c:v>
                </c:pt>
                <c:pt idx="8">
                  <c:v>200</c:v>
                </c:pt>
                <c:pt idx="9">
                  <c:v>400</c:v>
                </c:pt>
                <c:pt idx="10">
                  <c:v>600</c:v>
                </c:pt>
                <c:pt idx="11">
                  <c:v>800</c:v>
                </c:pt>
                <c:pt idx="12">
                  <c:v>1000</c:v>
                </c:pt>
                <c:pt idx="13">
                  <c:v>2000</c:v>
                </c:pt>
                <c:pt idx="14">
                  <c:v>4000</c:v>
                </c:pt>
                <c:pt idx="15">
                  <c:v>5000</c:v>
                </c:pt>
                <c:pt idx="16">
                  <c:v>6000</c:v>
                </c:pt>
                <c:pt idx="17">
                  <c:v>8000</c:v>
                </c:pt>
                <c:pt idx="18">
                  <c:v>10000</c:v>
                </c:pt>
                <c:pt idx="19">
                  <c:v>20000</c:v>
                </c:pt>
                <c:pt idx="20" formatCode="#,##0">
                  <c:v>100000</c:v>
                </c:pt>
              </c:numCache>
            </c:numRef>
          </c:xVal>
          <c:yVal>
            <c:numRef>
              <c:f>Feuil1!$C$2:$C$22</c:f>
              <c:numCache>
                <c:formatCode>General</c:formatCode>
                <c:ptCount val="21"/>
                <c:pt idx="0">
                  <c:v>-7.9588001734407507</c:v>
                </c:pt>
                <c:pt idx="1">
                  <c:v>9.1475439304781041</c:v>
                </c:pt>
                <c:pt idx="2">
                  <c:v>14.647875196459371</c:v>
                </c:pt>
                <c:pt idx="3">
                  <c:v>19.523941706547504</c:v>
                </c:pt>
                <c:pt idx="4">
                  <c:v>21.774531279077106</c:v>
                </c:pt>
                <c:pt idx="5">
                  <c:v>22.234209417490895</c:v>
                </c:pt>
                <c:pt idx="6">
                  <c:v>23.560343601834393</c:v>
                </c:pt>
                <c:pt idx="7">
                  <c:v>24.154482138494998</c:v>
                </c:pt>
                <c:pt idx="8">
                  <c:v>24.877289788681534</c:v>
                </c:pt>
                <c:pt idx="9">
                  <c:v>24.877289788681534</c:v>
                </c:pt>
                <c:pt idx="10">
                  <c:v>24.877289788681534</c:v>
                </c:pt>
                <c:pt idx="11">
                  <c:v>24.877289788681534</c:v>
                </c:pt>
                <c:pt idx="12">
                  <c:v>24.877289788681534</c:v>
                </c:pt>
                <c:pt idx="13">
                  <c:v>24.261496506177021</c:v>
                </c:pt>
                <c:pt idx="14">
                  <c:v>22.67077816740435</c:v>
                </c:pt>
                <c:pt idx="15">
                  <c:v>21.774531279077106</c:v>
                </c:pt>
                <c:pt idx="16">
                  <c:v>20.932504241838039</c:v>
                </c:pt>
                <c:pt idx="17">
                  <c:v>19.275756546911104</c:v>
                </c:pt>
                <c:pt idx="18">
                  <c:v>17.841892053809609</c:v>
                </c:pt>
                <c:pt idx="19">
                  <c:v>12.736441951743487</c:v>
                </c:pt>
                <c:pt idx="20">
                  <c:v>-0.59926446754886298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222472"/>
        <c:axId val="402225216"/>
      </c:scatterChart>
      <c:valAx>
        <c:axId val="40222247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Fréquence</a:t>
                </a:r>
                <a:r>
                  <a:rPr lang="fr-FR" baseline="0"/>
                  <a:t> (Hz)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2225216"/>
        <c:crosses val="autoZero"/>
        <c:crossBetween val="midCat"/>
      </c:valAx>
      <c:valAx>
        <c:axId val="40222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Gain (dB)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2222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252412</xdr:colOff>
      <xdr:row>12</xdr:row>
      <xdr:rowOff>157162</xdr:rowOff>
    </xdr:from>
    <xdr:to>
      <xdr:col>13</xdr:col>
      <xdr:colOff>252412</xdr:colOff>
      <xdr:row>27</xdr:row>
      <xdr:rowOff>42862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252412</xdr:colOff>
      <xdr:row>12</xdr:row>
      <xdr:rowOff>157162</xdr:rowOff>
    </xdr:from>
    <xdr:to>
      <xdr:col>13</xdr:col>
      <xdr:colOff>252412</xdr:colOff>
      <xdr:row>27</xdr:row>
      <xdr:rowOff>42862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F23" sqref="F23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>
        <v>1</v>
      </c>
      <c r="B2">
        <v>0.06</v>
      </c>
      <c r="C2">
        <f>20*LOG(B2/0.15,10)</f>
        <v>-7.9588001734407507</v>
      </c>
    </row>
    <row r="3" spans="1:4" x14ac:dyDescent="0.25">
      <c r="A3">
        <v>10</v>
      </c>
      <c r="B3">
        <v>0.43</v>
      </c>
      <c r="C3">
        <f t="shared" ref="C3:C8" si="0">20*LOG(B3/0.15,10)</f>
        <v>9.1475439304781041</v>
      </c>
    </row>
    <row r="4" spans="1:4" x14ac:dyDescent="0.25">
      <c r="A4">
        <v>20</v>
      </c>
      <c r="B4">
        <v>0.81</v>
      </c>
      <c r="C4">
        <f t="shared" si="0"/>
        <v>14.647875196459371</v>
      </c>
    </row>
    <row r="5" spans="1:4" x14ac:dyDescent="0.25">
      <c r="A5">
        <v>40</v>
      </c>
      <c r="B5">
        <v>1.42</v>
      </c>
      <c r="C5">
        <f t="shared" si="0"/>
        <v>19.523941706547504</v>
      </c>
    </row>
    <row r="6" spans="1:4" x14ac:dyDescent="0.25">
      <c r="A6" s="2">
        <v>55</v>
      </c>
      <c r="B6" s="2">
        <v>1.84</v>
      </c>
      <c r="C6" s="2">
        <f t="shared" si="0"/>
        <v>21.774531279077106</v>
      </c>
      <c r="D6" t="s">
        <v>3</v>
      </c>
    </row>
    <row r="7" spans="1:4" x14ac:dyDescent="0.25">
      <c r="A7">
        <v>60</v>
      </c>
      <c r="B7">
        <v>1.94</v>
      </c>
      <c r="C7">
        <f t="shared" si="0"/>
        <v>22.234209417490895</v>
      </c>
    </row>
    <row r="8" spans="1:4" x14ac:dyDescent="0.25">
      <c r="A8">
        <v>80</v>
      </c>
      <c r="B8">
        <v>2.2599999999999998</v>
      </c>
      <c r="C8">
        <f t="shared" si="0"/>
        <v>23.560343601834393</v>
      </c>
    </row>
    <row r="9" spans="1:4" x14ac:dyDescent="0.25">
      <c r="A9">
        <v>100</v>
      </c>
      <c r="B9">
        <v>2.42</v>
      </c>
      <c r="C9">
        <f>20*LOG(B9/0.15,10)</f>
        <v>24.154482138494998</v>
      </c>
    </row>
    <row r="10" spans="1:4" x14ac:dyDescent="0.25">
      <c r="A10">
        <v>200</v>
      </c>
      <c r="B10">
        <v>2.63</v>
      </c>
      <c r="C10">
        <f>20*LOG(B10/0.15,10)</f>
        <v>24.877289788681534</v>
      </c>
    </row>
    <row r="11" spans="1:4" x14ac:dyDescent="0.25">
      <c r="A11">
        <v>400</v>
      </c>
      <c r="B11">
        <v>2.63</v>
      </c>
      <c r="C11">
        <f t="shared" ref="C11:C22" si="1">20*LOG(B11/0.15,10)</f>
        <v>24.877289788681534</v>
      </c>
    </row>
    <row r="12" spans="1:4" x14ac:dyDescent="0.25">
      <c r="A12">
        <v>600</v>
      </c>
      <c r="B12">
        <v>2.63</v>
      </c>
      <c r="C12">
        <f t="shared" si="1"/>
        <v>24.877289788681534</v>
      </c>
    </row>
    <row r="13" spans="1:4" x14ac:dyDescent="0.25">
      <c r="A13">
        <v>800</v>
      </c>
      <c r="B13">
        <v>2.63</v>
      </c>
      <c r="C13">
        <f t="shared" si="1"/>
        <v>24.877289788681534</v>
      </c>
    </row>
    <row r="14" spans="1:4" x14ac:dyDescent="0.25">
      <c r="A14">
        <v>1000</v>
      </c>
      <c r="B14">
        <v>2.63</v>
      </c>
      <c r="C14">
        <f t="shared" si="1"/>
        <v>24.877289788681534</v>
      </c>
    </row>
    <row r="15" spans="1:4" x14ac:dyDescent="0.25">
      <c r="A15">
        <v>2000</v>
      </c>
      <c r="B15">
        <v>2.4500000000000002</v>
      </c>
      <c r="C15">
        <f t="shared" si="1"/>
        <v>24.261496506177021</v>
      </c>
    </row>
    <row r="16" spans="1:4" x14ac:dyDescent="0.25">
      <c r="A16">
        <v>4000</v>
      </c>
      <c r="B16">
        <v>2.04</v>
      </c>
      <c r="C16">
        <f t="shared" si="1"/>
        <v>22.67077816740435</v>
      </c>
    </row>
    <row r="17" spans="1:4" x14ac:dyDescent="0.25">
      <c r="A17" s="2">
        <v>5000</v>
      </c>
      <c r="B17" s="2">
        <v>1.84</v>
      </c>
      <c r="C17" s="2">
        <f t="shared" si="1"/>
        <v>21.774531279077106</v>
      </c>
      <c r="D17" t="s">
        <v>3</v>
      </c>
    </row>
    <row r="18" spans="1:4" x14ac:dyDescent="0.25">
      <c r="A18">
        <v>6000</v>
      </c>
      <c r="B18">
        <v>1.67</v>
      </c>
      <c r="C18">
        <f t="shared" si="1"/>
        <v>20.932504241838039</v>
      </c>
    </row>
    <row r="19" spans="1:4" x14ac:dyDescent="0.25">
      <c r="A19">
        <v>8000</v>
      </c>
      <c r="B19">
        <v>1.38</v>
      </c>
      <c r="C19">
        <f t="shared" si="1"/>
        <v>19.275756546911104</v>
      </c>
    </row>
    <row r="20" spans="1:4" x14ac:dyDescent="0.25">
      <c r="A20">
        <v>10000</v>
      </c>
      <c r="B20">
        <v>1.17</v>
      </c>
      <c r="C20">
        <f t="shared" si="1"/>
        <v>17.841892053809609</v>
      </c>
    </row>
    <row r="21" spans="1:4" x14ac:dyDescent="0.25">
      <c r="A21">
        <v>20000</v>
      </c>
      <c r="B21">
        <v>0.65</v>
      </c>
      <c r="C21">
        <f t="shared" si="1"/>
        <v>12.736441951743487</v>
      </c>
    </row>
    <row r="22" spans="1:4" x14ac:dyDescent="0.25">
      <c r="A22" s="1">
        <v>100000</v>
      </c>
      <c r="B22">
        <v>0.14000000000000001</v>
      </c>
      <c r="C22">
        <f t="shared" si="1"/>
        <v>-0.59926446754886298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IUT de Ville d'Avray UPOND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Portier Gabriel</dc:creator>
  <cp:lastModifiedBy>Portier Gabriel</cp:lastModifiedBy>
  <dcterms:created xsi:type="dcterms:W3CDTF">2026-02-04T15:19:56Z</dcterms:created>
  <dcterms:modified xsi:type="dcterms:W3CDTF">2026-02-04T16:20:28Z</dcterms:modified>
</cp:coreProperties>
</file>